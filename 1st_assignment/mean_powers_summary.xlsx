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montei\Documents\Local_Docs_Sync\03_Teaching\06-publication_on_teaching\CHPT\"/>
    </mc:Choice>
  </mc:AlternateContent>
  <xr:revisionPtr revIDLastSave="0" documentId="8_{AFF5652F-AEE4-43AE-87CE-F809AFC7A77B}" xr6:coauthVersionLast="47" xr6:coauthVersionMax="47" xr10:uidLastSave="{00000000-0000-0000-0000-000000000000}"/>
  <bookViews>
    <workbookView xWindow="-25320" yWindow="-3630" windowWidth="25440" windowHeight="15390"/>
  </bookViews>
  <sheets>
    <sheet name="Feuil1" sheetId="3" r:id="rId1"/>
    <sheet name="Feuil2" sheetId="4" r:id="rId2"/>
  </sheets>
  <calcPr calcId="0"/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3" i="3"/>
  <c r="E4" i="3"/>
  <c r="E5" i="3"/>
  <c r="E6" i="3"/>
  <c r="E7" i="3"/>
  <c r="E8" i="3"/>
  <c r="E9" i="3"/>
  <c r="E10" i="3"/>
  <c r="E11" i="3"/>
  <c r="E12" i="3"/>
  <c r="E13" i="3"/>
  <c r="E14" i="3"/>
  <c r="E3" i="3"/>
  <c r="O3" i="3"/>
  <c r="P3" i="3" s="1"/>
  <c r="P5" i="3"/>
  <c r="P13" i="3"/>
  <c r="I6" i="3"/>
  <c r="H4" i="3"/>
  <c r="I4" i="3" s="1"/>
  <c r="H5" i="3"/>
  <c r="I5" i="3" s="1"/>
  <c r="H6" i="3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3" i="3"/>
  <c r="I3" i="3" s="1"/>
  <c r="O4" i="3"/>
  <c r="P4" i="3" s="1"/>
  <c r="O5" i="3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O14" i="3"/>
  <c r="P14" i="3" s="1"/>
  <c r="N4" i="3"/>
  <c r="N5" i="3"/>
  <c r="N6" i="3"/>
  <c r="N7" i="3"/>
  <c r="N8" i="3"/>
  <c r="N9" i="3"/>
  <c r="N10" i="3"/>
  <c r="N11" i="3"/>
  <c r="N12" i="3"/>
  <c r="N13" i="3"/>
  <c r="N14" i="3"/>
  <c r="N3" i="3"/>
  <c r="G4" i="3"/>
  <c r="G5" i="3"/>
  <c r="G6" i="3"/>
  <c r="G7" i="3"/>
  <c r="G8" i="3"/>
  <c r="G9" i="3"/>
  <c r="G10" i="3"/>
  <c r="G11" i="3"/>
  <c r="G12" i="3"/>
  <c r="G13" i="3"/>
  <c r="G14" i="3"/>
  <c r="G3" i="3"/>
</calcChain>
</file>

<file path=xl/connections.xml><?xml version="1.0" encoding="utf-8"?>
<connections xmlns="http://schemas.openxmlformats.org/spreadsheetml/2006/main">
  <connection id="1" keepAlive="1" name="Requête - mean_powers_summary" description="Connexion à la requête « mean_powers_summary » dans le classeur." type="5" refreshedVersion="0" background="1">
    <dbPr connection="Provider=Microsoft.Mashup.OleDb.1;Data Source=$Workbook$;Location=mean_powers_summary;Extended Properties=&quot;&quot;" command="SELECT * FROM [mean_powers_summary]"/>
  </connection>
</connections>
</file>

<file path=xl/sharedStrings.xml><?xml version="1.0" encoding="utf-8"?>
<sst xmlns="http://schemas.openxmlformats.org/spreadsheetml/2006/main" count="42" uniqueCount="36">
  <si>
    <t>Pass</t>
  </si>
  <si>
    <t>N=1200 rpm</t>
  </si>
  <si>
    <t>Vc=150 m/min</t>
  </si>
  <si>
    <t>Vc</t>
  </si>
  <si>
    <t>N</t>
  </si>
  <si>
    <t>Diameter: 24 mm -&gt; Spindle Speed: 1989 rpm</t>
  </si>
  <si>
    <t>Diameter: 26 mm -&gt; Spindle Speed: 1836 rpm</t>
  </si>
  <si>
    <t>Diameter: 28 mm -&gt; Spindle Speed: 1705 rpm</t>
  </si>
  <si>
    <t>Diameter: 30 mm -&gt; Spindle Speed: 1592 rpm</t>
  </si>
  <si>
    <t>Diameter: 32 mm -&gt; Spindle Speed: 1492 rpm</t>
  </si>
  <si>
    <t>Diameter: 34 mm -&gt; Spindle Speed: 1404 rpm</t>
  </si>
  <si>
    <t>Diameter: 36 mm -&gt; Spindle Speed: 1326 rpm</t>
  </si>
  <si>
    <t>Diameter: 38 mm -&gt; Spindle Speed: 1256 rpm</t>
  </si>
  <si>
    <t>Diameter: 40 mm -&gt; Spindle Speed: 1194 rpm</t>
  </si>
  <si>
    <t>Diameter: 42 mm -&gt; Spindle Speed: 1137 rpm</t>
  </si>
  <si>
    <t>Diameter: 44 mm -&gt; Spindle Speed: 1085 rpm</t>
  </si>
  <si>
    <t>Diameter: 46 mm -&gt; Spindle Speed: 1038 rpm</t>
  </si>
  <si>
    <t>Diameter: 24 mm -&gt; Cutting Speed: 90.48 m/min</t>
  </si>
  <si>
    <t>Diameter: 26 mm -&gt; Cutting Speed: 98.02 m/min</t>
  </si>
  <si>
    <t>Diameter: 28 mm -&gt; Cutting Speed: 105.56 m/min</t>
  </si>
  <si>
    <t>Diameter: 30 mm -&gt; Cutting Speed: 113.10 m/min</t>
  </si>
  <si>
    <t>Diameter: 32 mm -&gt; Cutting Speed: 120.64 m/min</t>
  </si>
  <si>
    <t>Diameter: 34 mm -&gt; Cutting Speed: 128.18 m/min</t>
  </si>
  <si>
    <t>Diameter: 36 mm -&gt; Cutting Speed: 135.72 m/min</t>
  </si>
  <si>
    <t>Diameter: 38 mm -&gt; Cutting Speed: 143.26 m/min</t>
  </si>
  <si>
    <t>Diameter: 40 mm -&gt; Cutting Speed: 150.80 m/min</t>
  </si>
  <si>
    <t>Diameter: 42 mm -&gt; Cutting Speed: 158.34 m/min</t>
  </si>
  <si>
    <t>Diameter: 44 mm -&gt; Cutting Speed: 165.88 m/min</t>
  </si>
  <si>
    <t>Diameter: 46 mm -&gt; Cutting Speed: 173.42 m/min</t>
  </si>
  <si>
    <t>Ac (mm2)</t>
  </si>
  <si>
    <t>MRR</t>
  </si>
  <si>
    <t>Fc (N)</t>
  </si>
  <si>
    <t>Kc (MPa)</t>
  </si>
  <si>
    <t>No Cut</t>
  </si>
  <si>
    <t>Cut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</si>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</sst>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33" borderId="10" xfId="0" applyNumberFormat="1" applyFont="1" applyFill="1" applyBorder="1"/>
    <xf numFmtId="0" fontId="0" fillId="0" borderId="10" xfId="0" applyNumberFormat="1" applyFont="1" applyBorder="1"/>
    <xf numFmtId="169" fontId="0" fillId="0" borderId="11" xfId="0" applyNumberFormat="1" applyFont="1" applyBorder="1"/>
    <xf numFmtId="169" fontId="0" fillId="0" borderId="12" xfId="0" applyNumberFormat="1" applyFont="1" applyBorder="1"/>
    <xf numFmtId="169" fontId="0" fillId="33" borderId="11" xfId="0" applyNumberFormat="1" applyFont="1" applyFill="1" applyBorder="1"/>
    <xf numFmtId="169" fontId="0" fillId="33" borderId="12" xfId="0" applyNumberFormat="1" applyFont="1" applyFill="1" applyBorder="1"/>
    <xf numFmtId="0" fontId="0" fillId="33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3" borderId="10" xfId="0" applyNumberFormat="1" applyFont="1" applyFill="1" applyBorder="1" applyAlignment="1">
      <alignment horizontal="center"/>
    </xf>
    <xf numFmtId="0" fontId="0" fillId="33" borderId="0" xfId="0" applyNumberFormat="1" applyFont="1" applyFill="1" applyBorder="1" applyAlignment="1">
      <alignment horizontal="center"/>
    </xf>
    <xf numFmtId="0" fontId="0" fillId="33" borderId="0" xfId="0" applyNumberFormat="1" applyFont="1" applyFill="1" applyBorder="1" applyAlignment="1">
      <alignment horizontal="center"/>
    </xf>
    <xf numFmtId="169" fontId="0" fillId="0" borderId="0" xfId="0" applyNumberFormat="1" applyFont="1" applyFill="1" applyBorder="1"/>
    <xf numFmtId="0" fontId="16" fillId="33" borderId="10" xfId="0" applyNumberFormat="1" applyFont="1" applyFill="1" applyBorder="1"/>
    <xf numFmtId="169" fontId="16" fillId="33" borderId="11" xfId="0" applyNumberFormat="1" applyFont="1" applyFill="1" applyBorder="1"/>
    <xf numFmtId="169" fontId="16" fillId="33" borderId="12" xfId="0" applyNumberFormat="1" applyFont="1" applyFill="1" applyBorder="1"/>
    <xf numFmtId="1" fontId="0" fillId="0" borderId="11" xfId="0" applyNumberFormat="1" applyFont="1" applyBorder="1"/>
    <xf numFmtId="1" fontId="0" fillId="33" borderId="11" xfId="0" applyNumberFormat="1" applyFont="1" applyFill="1" applyBorder="1"/>
    <xf numFmtId="1" fontId="16" fillId="33" borderId="11" xfId="0" applyNumberFormat="1" applyFont="1" applyFill="1" applyBorder="1"/>
    <xf numFmtId="1" fontId="0" fillId="0" borderId="0" xfId="0" applyNumberFormat="1" applyFont="1" applyFill="1" applyBorder="1"/>
    <xf numFmtId="1" fontId="0" fillId="33" borderId="0" xfId="0" applyNumberFormat="1" applyFont="1" applyFill="1" applyBorder="1"/>
    <xf numFmtId="1" fontId="16" fillId="33" borderId="0" xfId="0" applyNumberFormat="1" applyFont="1" applyFill="1" applyBorder="1"/>
    <xf numFmtId="169" fontId="0" fillId="0" borderId="0" xfId="0" applyNumberFormat="1"/>
    <xf numFmtId="169" fontId="16" fillId="0" borderId="0" xfId="0" applyNumberFormat="1" applyFont="1" applyFill="1" applyBorder="1"/>
    <xf numFmtId="1" fontId="16" fillId="0" borderId="11" xfId="0" applyNumberFormat="1" applyFont="1" applyBorder="1"/>
    <xf numFmtId="169" fontId="16" fillId="0" borderId="0" xfId="0" applyNumberFormat="1" applyFont="1"/>
    <xf numFmtId="0" fontId="16" fillId="0" borderId="0" xfId="0" applyFont="1"/>
    <xf numFmtId="169" fontId="0" fillId="0" borderId="0" xfId="0" applyNumberFormat="1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J27" sqref="J27"/>
    </sheetView>
  </sheetViews>
  <sheetFormatPr baseColWidth="10" defaultRowHeight="14.4" x14ac:dyDescent="0.3"/>
  <cols>
    <col min="1" max="1" width="4.6640625" bestFit="1" customWidth="1"/>
    <col min="2" max="2" width="7.21875" hidden="1" customWidth="1"/>
    <col min="3" max="3" width="7.21875" bestFit="1" customWidth="1"/>
    <col min="4" max="4" width="6.77734375" bestFit="1" customWidth="1"/>
    <col min="5" max="5" width="6.77734375" customWidth="1"/>
    <col min="6" max="6" width="5" bestFit="1" customWidth="1"/>
    <col min="7" max="7" width="5" hidden="1" customWidth="1"/>
    <col min="8" max="8" width="6" bestFit="1" customWidth="1"/>
    <col min="9" max="9" width="8.44140625" bestFit="1" customWidth="1"/>
    <col min="10" max="10" width="6.5546875" bestFit="1" customWidth="1"/>
    <col min="11" max="11" width="6.77734375" bestFit="1" customWidth="1"/>
    <col min="12" max="12" width="6.77734375" customWidth="1"/>
    <col min="13" max="13" width="4" bestFit="1" customWidth="1"/>
    <col min="14" max="14" width="5" bestFit="1" customWidth="1"/>
    <col min="15" max="15" width="6" bestFit="1" customWidth="1"/>
    <col min="16" max="16" width="8.44140625" bestFit="1" customWidth="1"/>
  </cols>
  <sheetData>
    <row r="1" spans="1:16" x14ac:dyDescent="0.3">
      <c r="A1" s="8"/>
      <c r="C1" s="11" t="s">
        <v>2</v>
      </c>
      <c r="D1" s="11"/>
      <c r="E1" s="11"/>
      <c r="F1" s="11"/>
      <c r="G1" s="11"/>
      <c r="H1" s="11"/>
      <c r="I1" s="11"/>
      <c r="J1" s="11" t="s">
        <v>1</v>
      </c>
      <c r="K1" s="11"/>
      <c r="L1" s="11"/>
      <c r="M1" s="11"/>
      <c r="N1" s="11"/>
      <c r="O1" s="11"/>
      <c r="P1" s="11"/>
    </row>
    <row r="2" spans="1:16" x14ac:dyDescent="0.3">
      <c r="A2" s="9" t="s">
        <v>0</v>
      </c>
      <c r="B2" s="10" t="s">
        <v>29</v>
      </c>
      <c r="C2" s="7" t="s">
        <v>34</v>
      </c>
      <c r="D2" s="7" t="s">
        <v>33</v>
      </c>
      <c r="E2" s="7" t="s">
        <v>35</v>
      </c>
      <c r="F2" s="7" t="s">
        <v>4</v>
      </c>
      <c r="G2" s="7" t="s">
        <v>30</v>
      </c>
      <c r="H2" s="10" t="s">
        <v>31</v>
      </c>
      <c r="I2" s="10" t="s">
        <v>32</v>
      </c>
      <c r="J2" s="7" t="s">
        <v>34</v>
      </c>
      <c r="K2" s="7" t="s">
        <v>33</v>
      </c>
      <c r="L2" s="10" t="s">
        <v>35</v>
      </c>
      <c r="M2" s="10" t="s">
        <v>3</v>
      </c>
      <c r="N2" s="10" t="s">
        <v>30</v>
      </c>
      <c r="O2" s="10" t="s">
        <v>31</v>
      </c>
      <c r="P2" s="10" t="s">
        <v>32</v>
      </c>
    </row>
    <row r="3" spans="1:16" x14ac:dyDescent="0.3">
      <c r="A3" s="2">
        <v>1</v>
      </c>
      <c r="B3" s="12">
        <v>0.2</v>
      </c>
      <c r="C3" s="3">
        <v>1852.9483123126299</v>
      </c>
      <c r="D3" s="3">
        <v>346.76977556044699</v>
      </c>
      <c r="E3" s="3">
        <f>C3-D3</f>
        <v>1506.1785367521829</v>
      </c>
      <c r="F3" s="16">
        <v>1038</v>
      </c>
      <c r="G3" s="16">
        <f>B3*150</f>
        <v>30</v>
      </c>
      <c r="H3" s="22">
        <f>(C3-D3)*60/150</f>
        <v>602.47141470087308</v>
      </c>
      <c r="I3" s="22">
        <f>H3/B3</f>
        <v>3012.3570735043654</v>
      </c>
      <c r="J3" s="3">
        <v>2211.8440476738601</v>
      </c>
      <c r="K3" s="4">
        <v>470.51628448551497</v>
      </c>
      <c r="L3" s="27">
        <f>J3-K3</f>
        <v>1741.3277631883452</v>
      </c>
      <c r="M3" s="19">
        <v>173</v>
      </c>
      <c r="N3">
        <f>B3*M3</f>
        <v>34.6</v>
      </c>
      <c r="O3" s="22">
        <f>(J3-K3)*60/M3</f>
        <v>603.9287039959579</v>
      </c>
      <c r="P3" s="22">
        <f>O3/B3</f>
        <v>3019.6435199797893</v>
      </c>
    </row>
    <row r="4" spans="1:16" x14ac:dyDescent="0.3">
      <c r="A4" s="1">
        <v>2</v>
      </c>
      <c r="B4" s="12">
        <v>0.2</v>
      </c>
      <c r="C4" s="5">
        <v>1843.1277370847499</v>
      </c>
      <c r="D4" s="5">
        <v>359.31324595317398</v>
      </c>
      <c r="E4" s="3">
        <f t="shared" ref="E4:E14" si="0">C4-D4</f>
        <v>1483.814491131576</v>
      </c>
      <c r="F4" s="17">
        <v>1085</v>
      </c>
      <c r="G4" s="16">
        <f>B4*150</f>
        <v>30</v>
      </c>
      <c r="H4" s="22">
        <f t="shared" ref="H4:H14" si="1">(C4-D4)*60/150</f>
        <v>593.5257964526304</v>
      </c>
      <c r="I4" s="22">
        <f t="shared" ref="I4:I14" si="2">H4/B4</f>
        <v>2967.628982263152</v>
      </c>
      <c r="J4" s="5">
        <v>2112.6580531357099</v>
      </c>
      <c r="K4" s="6">
        <v>452.89007645174001</v>
      </c>
      <c r="L4" s="27">
        <f t="shared" ref="L4:L14" si="3">J4-K4</f>
        <v>1659.7679766839699</v>
      </c>
      <c r="M4" s="20">
        <v>166</v>
      </c>
      <c r="N4">
        <f t="shared" ref="N4:N14" si="4">B4*M4</f>
        <v>33.200000000000003</v>
      </c>
      <c r="O4" s="22">
        <f t="shared" ref="O4:O14" si="5">(J4-K4)*60/M4</f>
        <v>599.91613615083259</v>
      </c>
      <c r="P4" s="22">
        <f t="shared" ref="P4:P14" si="6">O4/B4</f>
        <v>2999.5806807541626</v>
      </c>
    </row>
    <row r="5" spans="1:16" x14ac:dyDescent="0.3">
      <c r="A5" s="2">
        <v>3</v>
      </c>
      <c r="B5" s="12">
        <v>0.2</v>
      </c>
      <c r="C5" s="3">
        <v>1868.3256542461099</v>
      </c>
      <c r="D5" s="3">
        <v>375.94557272119198</v>
      </c>
      <c r="E5" s="3">
        <f t="shared" si="0"/>
        <v>1492.3800815249178</v>
      </c>
      <c r="F5" s="16">
        <v>1256</v>
      </c>
      <c r="G5" s="16">
        <f>B5*150</f>
        <v>30</v>
      </c>
      <c r="H5" s="22">
        <f t="shared" si="1"/>
        <v>596.95203260996709</v>
      </c>
      <c r="I5" s="22">
        <f t="shared" si="2"/>
        <v>2984.7601630498352</v>
      </c>
      <c r="J5" s="3">
        <v>2036.7074306709201</v>
      </c>
      <c r="K5" s="4">
        <v>442.16186950224397</v>
      </c>
      <c r="L5" s="27">
        <f t="shared" si="3"/>
        <v>1594.5455611686762</v>
      </c>
      <c r="M5" s="19">
        <v>158</v>
      </c>
      <c r="N5">
        <f t="shared" si="4"/>
        <v>31.6</v>
      </c>
      <c r="O5" s="22">
        <f t="shared" si="5"/>
        <v>605.52363082354782</v>
      </c>
      <c r="P5" s="22">
        <f t="shared" si="6"/>
        <v>3027.6181541177389</v>
      </c>
    </row>
    <row r="6" spans="1:16" x14ac:dyDescent="0.3">
      <c r="A6" s="13">
        <v>4</v>
      </c>
      <c r="B6" s="23">
        <v>0.2</v>
      </c>
      <c r="C6" s="14">
        <v>1909.1307158806301</v>
      </c>
      <c r="D6" s="14">
        <v>398.43217315480598</v>
      </c>
      <c r="E6" s="3">
        <f t="shared" si="0"/>
        <v>1510.6985427258242</v>
      </c>
      <c r="F6" s="18">
        <v>1194</v>
      </c>
      <c r="G6" s="24">
        <f>B6*150</f>
        <v>30</v>
      </c>
      <c r="H6" s="25">
        <f t="shared" si="1"/>
        <v>604.27941709032962</v>
      </c>
      <c r="I6" s="25">
        <f t="shared" si="2"/>
        <v>3021.3970854516479</v>
      </c>
      <c r="J6" s="14">
        <v>1777.7782531284299</v>
      </c>
      <c r="K6" s="15">
        <v>437.53294772200502</v>
      </c>
      <c r="L6" s="27">
        <f t="shared" si="3"/>
        <v>1340.2453054064249</v>
      </c>
      <c r="M6" s="21">
        <v>150</v>
      </c>
      <c r="N6" s="26">
        <f t="shared" si="4"/>
        <v>30</v>
      </c>
      <c r="O6" s="25">
        <f t="shared" si="5"/>
        <v>536.09812216257001</v>
      </c>
      <c r="P6" s="25">
        <f t="shared" si="6"/>
        <v>2680.4906108128498</v>
      </c>
    </row>
    <row r="7" spans="1:16" x14ac:dyDescent="0.3">
      <c r="A7" s="2">
        <v>5</v>
      </c>
      <c r="B7" s="12">
        <v>0.2</v>
      </c>
      <c r="C7" s="3">
        <v>1927.7008609048901</v>
      </c>
      <c r="D7" s="3">
        <v>428.76522529119802</v>
      </c>
      <c r="E7" s="3">
        <f t="shared" si="0"/>
        <v>1498.9356356136921</v>
      </c>
      <c r="F7" s="16">
        <v>1256</v>
      </c>
      <c r="G7" s="16">
        <f>B7*150</f>
        <v>30</v>
      </c>
      <c r="H7" s="22">
        <f t="shared" si="1"/>
        <v>599.57425424547682</v>
      </c>
      <c r="I7" s="22">
        <f t="shared" si="2"/>
        <v>2997.8712712273841</v>
      </c>
      <c r="J7" s="3">
        <v>1892.4394175812999</v>
      </c>
      <c r="K7" s="4">
        <v>429.64688729796802</v>
      </c>
      <c r="L7" s="27">
        <f t="shared" si="3"/>
        <v>1462.7925302833319</v>
      </c>
      <c r="M7" s="19">
        <v>143</v>
      </c>
      <c r="N7">
        <f t="shared" si="4"/>
        <v>28.6</v>
      </c>
      <c r="O7" s="22">
        <f t="shared" si="5"/>
        <v>613.75910361538399</v>
      </c>
      <c r="P7" s="22">
        <f t="shared" si="6"/>
        <v>3068.79551807692</v>
      </c>
    </row>
    <row r="8" spans="1:16" x14ac:dyDescent="0.3">
      <c r="A8" s="2">
        <v>6</v>
      </c>
      <c r="B8" s="12">
        <v>0.2</v>
      </c>
      <c r="C8" s="5">
        <v>1972.6104784904301</v>
      </c>
      <c r="D8" s="5">
        <v>460.22374076239402</v>
      </c>
      <c r="E8" s="3">
        <f t="shared" si="0"/>
        <v>1512.386737728036</v>
      </c>
      <c r="F8" s="17">
        <v>1326</v>
      </c>
      <c r="G8" s="16">
        <f>B8*150</f>
        <v>30</v>
      </c>
      <c r="H8" s="22">
        <f t="shared" si="1"/>
        <v>604.95469509121438</v>
      </c>
      <c r="I8" s="22">
        <f t="shared" si="2"/>
        <v>3024.7734754560715</v>
      </c>
      <c r="J8" s="5">
        <v>1827.28133761902</v>
      </c>
      <c r="K8" s="6">
        <v>427.21005148581497</v>
      </c>
      <c r="L8" s="27">
        <f t="shared" si="3"/>
        <v>1400.0712861332049</v>
      </c>
      <c r="M8" s="20">
        <v>136</v>
      </c>
      <c r="N8">
        <f t="shared" si="4"/>
        <v>27.200000000000003</v>
      </c>
      <c r="O8" s="22">
        <f t="shared" si="5"/>
        <v>617.6785085881786</v>
      </c>
      <c r="P8" s="22">
        <f t="shared" si="6"/>
        <v>3088.3925429408928</v>
      </c>
    </row>
    <row r="9" spans="1:16" x14ac:dyDescent="0.3">
      <c r="A9" s="1">
        <v>7</v>
      </c>
      <c r="B9" s="12">
        <v>0.2</v>
      </c>
      <c r="C9" s="3">
        <v>2011.83832149865</v>
      </c>
      <c r="D9" s="3">
        <v>494.36884612957198</v>
      </c>
      <c r="E9" s="3">
        <f t="shared" si="0"/>
        <v>1517.4694753690781</v>
      </c>
      <c r="F9" s="16">
        <v>1404</v>
      </c>
      <c r="G9" s="16">
        <f>B9*150</f>
        <v>30</v>
      </c>
      <c r="H9" s="22">
        <f t="shared" si="1"/>
        <v>606.98779014763124</v>
      </c>
      <c r="I9" s="22">
        <f t="shared" si="2"/>
        <v>3034.9389507381561</v>
      </c>
      <c r="J9" s="3">
        <v>1755.25083379793</v>
      </c>
      <c r="K9" s="4">
        <v>424.97132469484501</v>
      </c>
      <c r="L9" s="27">
        <f t="shared" si="3"/>
        <v>1330.279509103085</v>
      </c>
      <c r="M9" s="19">
        <v>128</v>
      </c>
      <c r="N9">
        <f t="shared" si="4"/>
        <v>25.6</v>
      </c>
      <c r="O9" s="22">
        <f t="shared" si="5"/>
        <v>623.56851989207109</v>
      </c>
      <c r="P9" s="22">
        <f t="shared" si="6"/>
        <v>3117.8425994603554</v>
      </c>
    </row>
    <row r="10" spans="1:16" x14ac:dyDescent="0.3">
      <c r="A10" s="2">
        <v>8</v>
      </c>
      <c r="B10" s="12">
        <v>0.2</v>
      </c>
      <c r="C10" s="5">
        <v>2043.5872791207601</v>
      </c>
      <c r="D10" s="5">
        <v>544.77871194810098</v>
      </c>
      <c r="E10" s="3">
        <f t="shared" si="0"/>
        <v>1498.808567172659</v>
      </c>
      <c r="F10" s="17">
        <v>1492</v>
      </c>
      <c r="G10" s="16">
        <f>B10*150</f>
        <v>30</v>
      </c>
      <c r="H10" s="22">
        <f t="shared" si="1"/>
        <v>599.52342686906366</v>
      </c>
      <c r="I10" s="22">
        <f t="shared" si="2"/>
        <v>2997.6171343453179</v>
      </c>
      <c r="J10" s="5">
        <v>1681.1880853140999</v>
      </c>
      <c r="K10" s="6">
        <v>422.50256641205101</v>
      </c>
      <c r="L10" s="27">
        <f t="shared" si="3"/>
        <v>1258.6855189020489</v>
      </c>
      <c r="M10" s="20">
        <v>121</v>
      </c>
      <c r="N10">
        <f t="shared" si="4"/>
        <v>24.200000000000003</v>
      </c>
      <c r="O10" s="22">
        <f t="shared" si="5"/>
        <v>624.14157962085062</v>
      </c>
      <c r="P10" s="22">
        <f t="shared" si="6"/>
        <v>3120.7078981042528</v>
      </c>
    </row>
    <row r="11" spans="1:16" x14ac:dyDescent="0.3">
      <c r="A11" s="1">
        <v>9</v>
      </c>
      <c r="B11" s="12">
        <v>0.2</v>
      </c>
      <c r="C11" s="3">
        <v>2089.74942848213</v>
      </c>
      <c r="D11" s="3">
        <v>592.88319319372704</v>
      </c>
      <c r="E11" s="3">
        <f t="shared" si="0"/>
        <v>1496.866235288403</v>
      </c>
      <c r="F11" s="16">
        <v>1592</v>
      </c>
      <c r="G11" s="16">
        <f>B11*150</f>
        <v>30</v>
      </c>
      <c r="H11" s="22">
        <f t="shared" si="1"/>
        <v>598.7464941153612</v>
      </c>
      <c r="I11" s="22">
        <f t="shared" si="2"/>
        <v>2993.732470576806</v>
      </c>
      <c r="J11" s="3">
        <v>1608.05112118631</v>
      </c>
      <c r="K11" s="4">
        <v>421.39525571168002</v>
      </c>
      <c r="L11" s="27">
        <f t="shared" si="3"/>
        <v>1186.65586547463</v>
      </c>
      <c r="M11" s="19">
        <v>113</v>
      </c>
      <c r="N11">
        <f t="shared" si="4"/>
        <v>22.6</v>
      </c>
      <c r="O11" s="22">
        <f t="shared" si="5"/>
        <v>630.08276042900707</v>
      </c>
      <c r="P11" s="22">
        <f t="shared" si="6"/>
        <v>3150.4138021450353</v>
      </c>
    </row>
    <row r="12" spans="1:16" x14ac:dyDescent="0.3">
      <c r="A12" s="2">
        <v>10</v>
      </c>
      <c r="B12" s="12">
        <v>0.2</v>
      </c>
      <c r="C12" s="5">
        <v>2158.0940971197801</v>
      </c>
      <c r="D12" s="5">
        <v>656.52632951341104</v>
      </c>
      <c r="E12" s="3">
        <f t="shared" si="0"/>
        <v>1501.5677676063692</v>
      </c>
      <c r="F12" s="17">
        <v>1705</v>
      </c>
      <c r="G12" s="16">
        <f>B12*150</f>
        <v>30</v>
      </c>
      <c r="H12" s="22">
        <f t="shared" si="1"/>
        <v>600.62710704254778</v>
      </c>
      <c r="I12" s="22">
        <f t="shared" si="2"/>
        <v>3003.1355352127389</v>
      </c>
      <c r="J12" s="5">
        <v>1534.04283060578</v>
      </c>
      <c r="K12" s="6">
        <v>421.44971361497699</v>
      </c>
      <c r="L12" s="27">
        <f t="shared" si="3"/>
        <v>1112.5931169908031</v>
      </c>
      <c r="M12" s="20">
        <v>105</v>
      </c>
      <c r="N12">
        <f t="shared" si="4"/>
        <v>21</v>
      </c>
      <c r="O12" s="22">
        <f t="shared" si="5"/>
        <v>635.76749542331606</v>
      </c>
      <c r="P12" s="22">
        <f t="shared" si="6"/>
        <v>3178.83747711658</v>
      </c>
    </row>
    <row r="13" spans="1:16" x14ac:dyDescent="0.3">
      <c r="A13" s="2">
        <v>11</v>
      </c>
      <c r="B13" s="12">
        <v>0.2</v>
      </c>
      <c r="C13" s="3">
        <v>2224.93209709956</v>
      </c>
      <c r="D13" s="3">
        <v>726.77702476645698</v>
      </c>
      <c r="E13" s="3">
        <f t="shared" si="0"/>
        <v>1498.1550723331029</v>
      </c>
      <c r="F13" s="16">
        <v>1836</v>
      </c>
      <c r="G13" s="16">
        <f>B13*150</f>
        <v>30</v>
      </c>
      <c r="H13" s="22">
        <f t="shared" si="1"/>
        <v>599.26202893324114</v>
      </c>
      <c r="I13" s="22">
        <f t="shared" si="2"/>
        <v>2996.3101446662054</v>
      </c>
      <c r="J13" s="3">
        <v>1462.3015260525201</v>
      </c>
      <c r="K13" s="4">
        <v>420.08139746817301</v>
      </c>
      <c r="L13" s="27">
        <f t="shared" si="3"/>
        <v>1042.2201285843471</v>
      </c>
      <c r="M13" s="19">
        <v>98</v>
      </c>
      <c r="N13">
        <f t="shared" si="4"/>
        <v>19.600000000000001</v>
      </c>
      <c r="O13" s="22">
        <f t="shared" si="5"/>
        <v>638.09395627613083</v>
      </c>
      <c r="P13" s="22">
        <f t="shared" si="6"/>
        <v>3190.4697813806538</v>
      </c>
    </row>
    <row r="14" spans="1:16" x14ac:dyDescent="0.3">
      <c r="A14" s="1">
        <v>12</v>
      </c>
      <c r="B14" s="12">
        <v>0.2</v>
      </c>
      <c r="C14" s="5">
        <v>2322.5569650765301</v>
      </c>
      <c r="D14" s="5">
        <v>809.75271675655301</v>
      </c>
      <c r="E14" s="3">
        <f t="shared" si="0"/>
        <v>1512.804248319977</v>
      </c>
      <c r="F14" s="17">
        <v>1989</v>
      </c>
      <c r="G14" s="16">
        <f>B14*150</f>
        <v>30</v>
      </c>
      <c r="H14" s="22">
        <f t="shared" si="1"/>
        <v>605.12169932799088</v>
      </c>
      <c r="I14" s="22">
        <f t="shared" si="2"/>
        <v>3025.6084966399544</v>
      </c>
      <c r="J14" s="5">
        <v>1388.5963354058299</v>
      </c>
      <c r="K14" s="6">
        <v>419.51765186983903</v>
      </c>
      <c r="L14" s="27">
        <f t="shared" si="3"/>
        <v>969.07868353599088</v>
      </c>
      <c r="M14" s="20">
        <v>90</v>
      </c>
      <c r="N14">
        <f t="shared" si="4"/>
        <v>18</v>
      </c>
      <c r="O14" s="22">
        <f t="shared" si="5"/>
        <v>646.05245569066062</v>
      </c>
      <c r="P14" s="22">
        <f t="shared" si="6"/>
        <v>3230.2622784533028</v>
      </c>
    </row>
  </sheetData>
  <mergeCells count="2">
    <mergeCell ref="C1:I1"/>
    <mergeCell ref="J1:P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sqref="A1:H12"/>
    </sheetView>
  </sheetViews>
  <sheetFormatPr baseColWidth="10" defaultRowHeight="14.4" x14ac:dyDescent="0.3"/>
  <sheetData>
    <row r="1" spans="1:5" x14ac:dyDescent="0.3">
      <c r="A1" t="s">
        <v>5</v>
      </c>
      <c r="E1" t="s">
        <v>17</v>
      </c>
    </row>
    <row r="2" spans="1:5" x14ac:dyDescent="0.3">
      <c r="A2" t="s">
        <v>6</v>
      </c>
      <c r="E2" t="s">
        <v>18</v>
      </c>
    </row>
    <row r="3" spans="1:5" x14ac:dyDescent="0.3">
      <c r="A3" t="s">
        <v>7</v>
      </c>
      <c r="E3" t="s">
        <v>19</v>
      </c>
    </row>
    <row r="4" spans="1:5" x14ac:dyDescent="0.3">
      <c r="A4" t="s">
        <v>8</v>
      </c>
      <c r="E4" t="s">
        <v>20</v>
      </c>
    </row>
    <row r="5" spans="1:5" x14ac:dyDescent="0.3">
      <c r="A5" t="s">
        <v>9</v>
      </c>
      <c r="E5" t="s">
        <v>21</v>
      </c>
    </row>
    <row r="6" spans="1:5" x14ac:dyDescent="0.3">
      <c r="A6" t="s">
        <v>10</v>
      </c>
      <c r="E6" t="s">
        <v>22</v>
      </c>
    </row>
    <row r="7" spans="1:5" x14ac:dyDescent="0.3">
      <c r="A7" t="s">
        <v>11</v>
      </c>
      <c r="E7" t="s">
        <v>23</v>
      </c>
    </row>
    <row r="8" spans="1:5" x14ac:dyDescent="0.3">
      <c r="A8" t="s">
        <v>12</v>
      </c>
      <c r="E8" t="s">
        <v>24</v>
      </c>
    </row>
    <row r="9" spans="1:5" x14ac:dyDescent="0.3">
      <c r="A9" t="s">
        <v>13</v>
      </c>
      <c r="E9" t="s">
        <v>25</v>
      </c>
    </row>
    <row r="10" spans="1:5" x14ac:dyDescent="0.3">
      <c r="A10" t="s">
        <v>14</v>
      </c>
      <c r="E10" t="s">
        <v>26</v>
      </c>
    </row>
    <row r="11" spans="1:5" x14ac:dyDescent="0.3">
      <c r="A11" t="s">
        <v>15</v>
      </c>
      <c r="E11" t="s">
        <v>27</v>
      </c>
    </row>
    <row r="12" spans="1:5" x14ac:dyDescent="0.3">
      <c r="A12" t="s">
        <v>16</v>
      </c>
      <c r="E1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6EC347-E743-4B2D-9BD5-C39B6A0751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Anna-Carla Monteiro-De-Araujo</dc:creator>
  <cp:lastModifiedBy>Anna-Carla Monteiro-De-Araujo</cp:lastModifiedBy>
  <dcterms:created xsi:type="dcterms:W3CDTF">2025-07-28T08:07:45Z</dcterms:created>
  <dcterms:modified xsi:type="dcterms:W3CDTF">2025-07-28T08:07:45Z</dcterms:modified>
</cp:coreProperties>
</file>